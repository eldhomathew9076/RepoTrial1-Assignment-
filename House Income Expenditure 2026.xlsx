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dho\OneDrive\Desktop\Studies\Codes\Excel\"/>
    </mc:Choice>
  </mc:AlternateContent>
  <xr:revisionPtr revIDLastSave="0" documentId="13_ncr:1_{D6EDFBAB-4FC8-4E07-8791-42C3E1A5EDF5}" xr6:coauthVersionLast="47" xr6:coauthVersionMax="47" xr10:uidLastSave="{00000000-0000-0000-0000-000000000000}"/>
  <bookViews>
    <workbookView xWindow="-108" yWindow="-108" windowWidth="23256" windowHeight="12456" xr2:uid="{8C157B12-1646-4160-97C9-B49135F96EB1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F6" i="1"/>
  <c r="H3" i="1"/>
  <c r="H4" i="1"/>
  <c r="H5" i="1"/>
  <c r="F3" i="1"/>
  <c r="F4" i="1"/>
  <c r="F5" i="1"/>
  <c r="F2" i="1"/>
  <c r="H2" i="1"/>
</calcChain>
</file>

<file path=xl/sharedStrings.xml><?xml version="1.0" encoding="utf-8"?>
<sst xmlns="http://schemas.openxmlformats.org/spreadsheetml/2006/main" count="13" uniqueCount="13">
  <si>
    <t>Month</t>
  </si>
  <si>
    <t>Stationary</t>
  </si>
  <si>
    <t>Bakery</t>
  </si>
  <si>
    <t>Medicine</t>
  </si>
  <si>
    <t>Machine</t>
  </si>
  <si>
    <t>Expenditure</t>
  </si>
  <si>
    <t>Income</t>
  </si>
  <si>
    <t>Difference</t>
  </si>
  <si>
    <t>January</t>
  </si>
  <si>
    <t>February</t>
  </si>
  <si>
    <t>March</t>
  </si>
  <si>
    <t>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</si>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</sst>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3">
    <xf numFmtId="0" fontId="0" fillId="0" borderId="0" xfId="0"/>
    <xf numFmtId="0" fontId="2" fillId="2" borderId="2" xfId="1" applyBorder="1"/>
    <xf numFmtId="0" fontId="1" fillId="3" borderId="2" xfId="2" applyBorder="1"/>
  </cellXfs>
  <cellStyles count="3">
    <cellStyle name="60% - Accent1" xfId="2" builtinId="32"/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Stationary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11547</c:v>
                </c:pt>
                <c:pt idx="1">
                  <c:v>12133</c:v>
                </c:pt>
                <c:pt idx="2">
                  <c:v>11269</c:v>
                </c:pt>
                <c:pt idx="3">
                  <c:v>16490</c:v>
                </c:pt>
                <c:pt idx="4">
                  <c:v>10649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B-471F-99DF-5C69D5A4C4C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Bakery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1407</c:v>
                </c:pt>
                <c:pt idx="1">
                  <c:v>1240</c:v>
                </c:pt>
                <c:pt idx="2">
                  <c:v>2170</c:v>
                </c:pt>
                <c:pt idx="3">
                  <c:v>809</c:v>
                </c:pt>
                <c:pt idx="4">
                  <c:v>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9B-471F-99DF-5C69D5A4C4C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Medicine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757</c:v>
                </c:pt>
                <c:pt idx="1">
                  <c:v>1260</c:v>
                </c:pt>
                <c:pt idx="2">
                  <c:v>1388</c:v>
                </c:pt>
                <c:pt idx="3">
                  <c:v>3573</c:v>
                </c:pt>
                <c:pt idx="4">
                  <c:v>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9B-471F-99DF-5C69D5A4C4C1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Machine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3915</c:v>
                </c:pt>
                <c:pt idx="1">
                  <c:v>4061</c:v>
                </c:pt>
                <c:pt idx="2">
                  <c:v>4066</c:v>
                </c:pt>
                <c:pt idx="3">
                  <c:v>21869</c:v>
                </c:pt>
                <c:pt idx="4">
                  <c:v>3273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9B-471F-99DF-5C69D5A4C4C1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Expenditure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17626</c:v>
                </c:pt>
                <c:pt idx="1">
                  <c:v>18694</c:v>
                </c:pt>
                <c:pt idx="2">
                  <c:v>18893</c:v>
                </c:pt>
                <c:pt idx="3">
                  <c:v>42741</c:v>
                </c:pt>
                <c:pt idx="4">
                  <c:v>15583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9B-471F-99DF-5C69D5A4C4C1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Income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22665</c:v>
                </c:pt>
                <c:pt idx="1">
                  <c:v>31524</c:v>
                </c:pt>
                <c:pt idx="2">
                  <c:v>15109</c:v>
                </c:pt>
                <c:pt idx="3">
                  <c:v>7849</c:v>
                </c:pt>
                <c:pt idx="4">
                  <c:v>22159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9B-471F-99DF-5C69D5A4C4C1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Difference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5039</c:v>
                </c:pt>
                <c:pt idx="1">
                  <c:v>12830</c:v>
                </c:pt>
                <c:pt idx="2">
                  <c:v>-3784</c:v>
                </c:pt>
                <c:pt idx="3">
                  <c:v>-34892</c:v>
                </c:pt>
                <c:pt idx="4">
                  <c:v>6576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9B-471F-99DF-5C69D5A4C4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56119999"/>
        <c:axId val="956120479"/>
      </c:barChart>
      <c:catAx>
        <c:axId val="95611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120479"/>
        <c:crosses val="autoZero"/>
        <c:auto val="1"/>
        <c:lblAlgn val="ctr"/>
        <c:lblOffset val="100"/>
        <c:noMultiLvlLbl val="0"/>
      </c:catAx>
      <c:valAx>
        <c:axId val="95612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11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320040</xdr:colOff>
      <xdr:row>6</xdr:row>
      <xdr:rowOff>133350</xdr:rowOff>
    </xdr:from>
    <xdr:to>
      <xdr:col>17</xdr:col>
      <xdr:colOff>144780</xdr:colOff>
      <xdr:row>29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171BF-BDF6-2D14-3027-56EE0EC3F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534CA-9636-4E1B-9F1F-0B792DF12226}">
  <dimension ref="A1:H6"/>
  <sheetViews>
    <sheetView tabSelected="1" topLeftCell="A6" workbookViewId="0">
      <selection activeCell="E19" sqref="E19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>
        <v>11547</v>
      </c>
      <c r="C2" s="2">
        <v>1407</v>
      </c>
      <c r="D2" s="2">
        <v>757</v>
      </c>
      <c r="E2" s="2">
        <v>3915</v>
      </c>
      <c r="F2" s="2">
        <f>B2+C2+D2+E2</f>
        <v>17626</v>
      </c>
      <c r="G2" s="2">
        <v>22665</v>
      </c>
      <c r="H2" s="2">
        <f>G2-F2</f>
        <v>5039</v>
      </c>
    </row>
    <row r="3" spans="1:8" x14ac:dyDescent="0.3">
      <c r="A3" s="2" t="s">
        <v>9</v>
      </c>
      <c r="B3" s="2">
        <v>12133</v>
      </c>
      <c r="C3" s="2">
        <v>1240</v>
      </c>
      <c r="D3" s="2">
        <v>1260</v>
      </c>
      <c r="E3" s="2">
        <v>4061</v>
      </c>
      <c r="F3" s="2">
        <f t="shared" ref="F3:F6" si="0">B3+C3+D3+E3</f>
        <v>18694</v>
      </c>
      <c r="G3" s="2">
        <v>31524</v>
      </c>
      <c r="H3" s="2">
        <f t="shared" ref="H3:H6" si="1">G3-F3</f>
        <v>12830</v>
      </c>
    </row>
    <row r="4" spans="1:8" x14ac:dyDescent="0.3">
      <c r="A4" s="2" t="s">
        <v>10</v>
      </c>
      <c r="B4" s="2">
        <v>11269</v>
      </c>
      <c r="C4" s="2">
        <v>2170</v>
      </c>
      <c r="D4" s="2">
        <v>1388</v>
      </c>
      <c r="E4" s="2">
        <v>4066</v>
      </c>
      <c r="F4" s="2">
        <f t="shared" si="0"/>
        <v>18893</v>
      </c>
      <c r="G4" s="2">
        <v>15109</v>
      </c>
      <c r="H4" s="2">
        <f t="shared" si="1"/>
        <v>-3784</v>
      </c>
    </row>
    <row r="5" spans="1:8" x14ac:dyDescent="0.3">
      <c r="A5" s="2" t="s">
        <v>11</v>
      </c>
      <c r="B5" s="2">
        <v>16490</v>
      </c>
      <c r="C5" s="2">
        <v>809</v>
      </c>
      <c r="D5" s="2">
        <v>3573</v>
      </c>
      <c r="E5" s="2">
        <v>21869</v>
      </c>
      <c r="F5" s="2">
        <f t="shared" si="0"/>
        <v>42741</v>
      </c>
      <c r="G5" s="2">
        <v>7849</v>
      </c>
      <c r="H5" s="2">
        <f t="shared" si="1"/>
        <v>-34892</v>
      </c>
    </row>
    <row r="6" spans="1:8" x14ac:dyDescent="0.3">
      <c r="A6" s="2" t="s">
        <v>12</v>
      </c>
      <c r="B6" s="2">
        <v>10649</v>
      </c>
      <c r="C6" s="2">
        <v>981</v>
      </c>
      <c r="D6" s="2">
        <v>680</v>
      </c>
      <c r="E6" s="2">
        <v>3273</v>
      </c>
      <c r="F6" s="2">
        <f t="shared" si="0"/>
        <v>15583</v>
      </c>
      <c r="G6" s="2">
        <v>22159</v>
      </c>
      <c r="H6" s="2">
        <f t="shared" si="1"/>
        <v>6576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eldhomathew9076@gmail.com</dc:creator>
  <cp:lastModifiedBy>eldhomathew9076@gmail.com</cp:lastModifiedBy>
  <dcterms:created xsi:type="dcterms:W3CDTF">2026-04-18T17:24:19Z</dcterms:created>
  <dcterms:modified xsi:type="dcterms:W3CDTF">2026-06-12T15:33:37Z</dcterms:modified>
</cp:coreProperties>
</file>